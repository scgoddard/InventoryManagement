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Form Responses" sheetId="1" state="visible" r:id="rId1"/>
    <sheet name="checkout_checkin_form" sheetId="2" state="visible" r:id="rId2"/>
    <sheet name="dashboard" sheetId="3" state="visible" r:id="rId3"/>
    <sheet name="users" sheetId="4" state="visible" r:id="rId4"/>
    <sheet name="gear_inventory" sheetId="5" state="visible" r:id="rId5"/>
    <sheet name="checkout_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m/d/yyyy h:mm:ss"/>
    <numFmt numFmtId="165" formatCode="yyyy-mm-dd"/>
    <numFmt numFmtId="166" formatCode="YYYY-MM-DD HH:MM:SS"/>
    <numFmt numFmtId="167" formatCode="0.0000"/>
    <numFmt numFmtId="168" formatCode="YYYY-MM-DD"/>
  </numFmts>
  <fonts count="4">
    <font>
      <name val="Arial"/>
      <color rgb="FF000000"/>
      <sz val="10"/>
      <scheme val="minor"/>
    </font>
    <font>
      <name val="Arial"/>
      <color theme="1"/>
      <scheme val="minor"/>
    </font>
    <font>
      <name val="Arial"/>
      <color theme="1"/>
    </font>
    <font>
      <b val="1"/>
    </font>
  </fonts>
  <fills count="3">
    <fill>
      <patternFill/>
    </fill>
    <fill>
      <patternFill patternType="lightGray"/>
    </fill>
    <fill>
      <patternFill patternType="solid">
        <fgColor rgb="FFFFFF00"/>
        <bgColor rgb="FFFFFF00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/>
    </xf>
    <xf numFmtId="16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pivotButton="0" quotePrefix="0" xfId="0"/>
    <xf numFmtId="0" fontId="1" fillId="2" borderId="0" pivotButton="0" quotePrefix="0" xfId="0"/>
    <xf numFmtId="165" fontId="1" fillId="0" borderId="0" pivotButton="0" quotePrefix="0" xfId="0"/>
    <xf numFmtId="10" fontId="1" fillId="0" borderId="0" pivotButton="0" quotePrefix="0" xfId="0"/>
    <xf numFmtId="0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0" borderId="1" applyAlignment="1" pivotButton="0" quotePrefix="0" xfId="0">
      <alignment horizontal="center" vertical="top"/>
    </xf>
    <xf numFmtId="166" fontId="1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 defaultTableStyle="TableStyleMedium9" defaultPivotStyle="PivotStyleLight16">
    <tableStyle name="Form Respons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Form_Responses" displayName="Form_Responses" ref="A1:L2" headerRowCount="1">
  <tableColumns count="12">
    <tableColumn id="1" name="Timestamp"/>
    <tableColumn id="2" name="Your Name (S4/AS4):"/>
    <tableColumn id="3" name="Your Email:"/>
    <tableColumn id="4" name="Transaction Type"/>
    <tableColumn id="5" name="Equipment Serial Number"/>
    <tableColumn id="6" name="Soldier User ID"/>
    <tableColumn id="7" name="Soldier Name"/>
    <tableColumn id="8" name="Soldier Email"/>
    <tableColumn id="9" name="Checkout/Check-In Date"/>
    <tableColumn id="10" name="Due Date (CHECK-OUT only)"/>
    <tableColumn id="11" name="Equipment Condition"/>
    <tableColumn id="12" name="Additional Notes/Comments"/>
  </tableColumns>
  <tableStyleInfo name="Form Response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L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8.88" customWidth="1" style="9" min="1" max="1"/>
    <col width="31" customWidth="1" style="9" min="2" max="2"/>
    <col width="22.13" customWidth="1" style="9" min="3" max="3"/>
    <col width="18.88" customWidth="1" style="9" min="4" max="4"/>
    <col width="23.88" customWidth="1" style="9" min="5" max="5"/>
    <col width="18.88" customWidth="1" style="9" min="6" max="8"/>
    <col width="23" customWidth="1" style="9" min="9" max="9"/>
    <col width="25.63" customWidth="1" style="9" min="10" max="10"/>
    <col width="20.5" customWidth="1" style="9" min="11" max="11"/>
    <col width="26.13" customWidth="1" style="9" min="12" max="12"/>
    <col width="18.88" customWidth="1" style="9" min="13" max="18"/>
  </cols>
  <sheetData>
    <row r="1" ht="22.5" customHeight="1" s="9">
      <c r="A1" s="1" t="inlineStr">
        <is>
          <t>Timestamp</t>
        </is>
      </c>
      <c r="B1" s="1" t="inlineStr">
        <is>
          <t>Your Name (S4/AS4):</t>
        </is>
      </c>
      <c r="C1" s="1" t="inlineStr">
        <is>
          <t>Your Email:</t>
        </is>
      </c>
      <c r="D1" s="1" t="inlineStr">
        <is>
          <t>Transaction Type</t>
        </is>
      </c>
      <c r="E1" s="1" t="inlineStr">
        <is>
          <t>Equipment Serial Number</t>
        </is>
      </c>
      <c r="F1" s="1" t="inlineStr">
        <is>
          <t>Soldier User ID</t>
        </is>
      </c>
      <c r="G1" s="1" t="inlineStr">
        <is>
          <t>Soldier Name</t>
        </is>
      </c>
      <c r="H1" s="1" t="inlineStr">
        <is>
          <t>Soldier Email</t>
        </is>
      </c>
      <c r="I1" s="1" t="inlineStr">
        <is>
          <t>Checkout/Check-In Date</t>
        </is>
      </c>
      <c r="J1" s="1" t="inlineStr">
        <is>
          <t>Due Date (CHECK-OUT only)</t>
        </is>
      </c>
      <c r="K1" s="1" t="inlineStr">
        <is>
          <t>Equipment Condition</t>
        </is>
      </c>
      <c r="L1" s="1" t="inlineStr">
        <is>
          <t>Additional Notes/Comments</t>
        </is>
      </c>
    </row>
    <row r="2" ht="22.5" customHeight="1" s="9">
      <c r="A2" s="2" t="n">
        <v>45992.73727070602</v>
      </c>
      <c r="B2" s="3" t="inlineStr">
        <is>
          <t>Goddard</t>
        </is>
      </c>
      <c r="C2" s="3" t="inlineStr">
        <is>
          <t>scg52877@creighton.edu</t>
        </is>
      </c>
      <c r="D2" s="3" t="inlineStr">
        <is>
          <t>CHECK-OUT</t>
        </is>
      </c>
      <c r="E2" s="3" t="inlineStr">
        <is>
          <t>SN-ACU-002 - Army Combat Uniform (OCP) Large-Long</t>
        </is>
      </c>
      <c r="F2" s="3" t="inlineStr">
        <is>
          <t>U001</t>
        </is>
      </c>
      <c r="G2" s="3" t="inlineStr">
        <is>
          <t>Smith</t>
        </is>
      </c>
      <c r="H2" s="3" t="inlineStr">
        <is>
          <t>johnsmith@creighton.edu</t>
        </is>
      </c>
      <c r="I2" s="2" t="n">
        <v>45992.5</v>
      </c>
      <c r="J2" s="2" t="n">
        <v>45993.48958333334</v>
      </c>
      <c r="K2" s="3" t="inlineStr">
        <is>
          <t>Excellent - Like new, no visible wear</t>
        </is>
      </c>
      <c r="L2" s="3" t="inlineStr">
        <is>
          <t>None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C14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4" t="inlineStr">
        <is>
          <t>Field Name</t>
        </is>
      </c>
      <c r="B1" s="4" t="inlineStr">
        <is>
          <t>Value</t>
        </is>
      </c>
      <c r="C1" s="4" t="inlineStr">
        <is>
          <t>Instructions</t>
        </is>
      </c>
    </row>
    <row r="2">
      <c r="A2" s="4" t="inlineStr">
        <is>
          <t>Transaction Type</t>
        </is>
      </c>
      <c r="C2" s="4" t="inlineStr">
        <is>
          <t>Enter: CHECK-OUT or CHECK-IN</t>
        </is>
      </c>
    </row>
    <row r="3">
      <c r="A3" s="4" t="inlineStr">
        <is>
          <t>Transaction Date</t>
        </is>
      </c>
      <c r="C3" s="4" t="inlineStr">
        <is>
          <t>Format: YYYY-MM-DD</t>
        </is>
      </c>
    </row>
    <row r="4">
      <c r="A4" s="4" t="inlineStr">
        <is>
          <t>Serial Number</t>
        </is>
      </c>
      <c r="C4" s="4" t="inlineStr">
        <is>
          <t>Enter the equipment serial number (e.g. SN-ACU-001)</t>
        </is>
      </c>
    </row>
    <row r="5">
      <c r="A5" s="4" t="inlineStr">
        <is>
          <t>Item Name</t>
        </is>
      </c>
      <c r="C5" s="4" t="inlineStr">
        <is>
          <t>Enter the full item name</t>
        </is>
      </c>
    </row>
    <row r="6">
      <c r="A6" s="4" t="inlineStr">
        <is>
          <t>Net ID</t>
        </is>
      </c>
      <c r="C6" s="4" t="inlineStr">
        <is>
          <t>Enter User ID (e.g. U001)</t>
        </is>
      </c>
    </row>
    <row r="7">
      <c r="A7" s="4" t="inlineStr">
        <is>
          <t>User Name</t>
        </is>
      </c>
      <c r="C7" s="4" t="inlineStr">
        <is>
          <t>Enter full name with rank (e.g. SGT James Mitchell)</t>
        </is>
      </c>
    </row>
    <row r="8">
      <c r="A8" s="4" t="inlineStr">
        <is>
          <t>User Phone</t>
        </is>
      </c>
      <c r="C8" s="5" t="inlineStr">
        <is>
          <t>Enter army.mil email address</t>
        </is>
      </c>
    </row>
    <row r="9">
      <c r="A9" s="4" t="inlineStr">
        <is>
          <t>Due Date</t>
        </is>
      </c>
      <c r="C9" s="4" t="inlineStr">
        <is>
          <t>Format: YYYY-MM-DD (only for check-outs)</t>
        </is>
      </c>
    </row>
    <row r="10">
      <c r="A10" s="4" t="inlineStr">
        <is>
          <t>Check-In Date</t>
        </is>
      </c>
      <c r="C10" s="4" t="inlineStr">
        <is>
          <t>Format: YYYY-MM-DD (only for check-ins)</t>
        </is>
      </c>
    </row>
    <row r="11">
      <c r="A11" s="4" t="inlineStr">
        <is>
          <t>Equipment Condition</t>
        </is>
      </c>
      <c r="C11" s="4" t="inlineStr">
        <is>
          <t>Enter: Excellent/Good/Fair/Poor/Damaged</t>
        </is>
      </c>
    </row>
    <row r="12">
      <c r="A12" s="4" t="inlineStr">
        <is>
          <t>Notes</t>
        </is>
      </c>
      <c r="C12" s="4" t="inlineStr">
        <is>
          <t>Any additional comments or observations</t>
        </is>
      </c>
    </row>
    <row r="13">
      <c r="A13" s="4" t="inlineStr">
        <is>
          <t>Authorized By</t>
        </is>
      </c>
      <c r="C13" s="4" t="inlineStr">
        <is>
          <t>Name and rank of authorizing personnel</t>
        </is>
      </c>
    </row>
    <row r="14">
      <c r="A14" s="4" t="inlineStr">
        <is>
          <t>Signature</t>
        </is>
      </c>
      <c r="C14" s="4" t="inlineStr">
        <is>
          <t>Digital signature or initials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C13"/>
  <sheetViews>
    <sheetView workbookViewId="0">
      <selection activeCell="A1" sqref="A1"/>
    </sheetView>
  </sheetViews>
  <sheetFormatPr baseColWidth="8" defaultColWidth="12.63" defaultRowHeight="15.75" customHeight="1"/>
  <cols>
    <col width="25" customWidth="1" style="9" min="1" max="1"/>
    <col width="15" customWidth="1" style="9" min="2" max="2"/>
    <col width="15" customWidth="1" style="9" min="3" max="3"/>
  </cols>
  <sheetData>
    <row r="1">
      <c r="A1" s="10" t="inlineStr">
        <is>
          <t>Metric</t>
        </is>
      </c>
      <c r="B1" s="10" t="inlineStr">
        <is>
          <t>Value</t>
        </is>
      </c>
      <c r="C1" s="10" t="inlineStr">
        <is>
          <t>Last Updated</t>
        </is>
      </c>
    </row>
    <row r="2">
      <c r="A2" t="inlineStr">
        <is>
          <t>Total Gear Items</t>
        </is>
      </c>
      <c r="B2" s="13">
        <f>COUNTA(gear_inventory!A2:A1000)</f>
        <v/>
      </c>
      <c r="C2" s="14">
        <f>TODAY()</f>
        <v/>
      </c>
    </row>
    <row r="3">
      <c r="A3" t="inlineStr">
        <is>
          <t>Available Items</t>
        </is>
      </c>
      <c r="B3" s="13">
        <f>COUNTIF(gear_inventory!E2:E1000,"Available")</f>
        <v/>
      </c>
      <c r="C3" s="14">
        <f>TODAY()</f>
        <v/>
      </c>
    </row>
    <row r="4">
      <c r="A4" t="inlineStr">
        <is>
          <t>Checked Out Items</t>
        </is>
      </c>
      <c r="B4" s="13">
        <f>COUNTIF(gear_inventory!E2:E1000,"Checked Out")</f>
        <v/>
      </c>
      <c r="C4" s="14">
        <f>TODAY()</f>
        <v/>
      </c>
    </row>
    <row r="5">
      <c r="A5" t="inlineStr">
        <is>
          <t>Overdue Items</t>
        </is>
      </c>
      <c r="B5" s="13">
        <f>SUMPRODUCT((gear_inventory!E2:E1000="Checked Out")*(gear_inventory!G2:G1000&lt;TODAY())*(gear_inventory!G2:G1000&lt;&gt;""))</f>
        <v/>
      </c>
      <c r="C5" s="14">
        <f>TODAY()</f>
        <v/>
      </c>
    </row>
    <row r="6">
      <c r="A6" t="inlineStr">
        <is>
          <t>Items in Maintenance</t>
        </is>
      </c>
      <c r="B6" s="13">
        <f>COUNTIF(gear_inventory!E2:E1000,"In Maintenance")</f>
        <v/>
      </c>
      <c r="C6" s="14">
        <f>TODAY()</f>
        <v/>
      </c>
    </row>
    <row r="7">
      <c r="A7" t="inlineStr">
        <is>
          <t>Lost Items</t>
        </is>
      </c>
      <c r="B7" s="13">
        <f>COUNTIF(gear_inventory!E2:E1000,"Lost")</f>
        <v/>
      </c>
      <c r="C7" s="14">
        <f>TODAY()</f>
        <v/>
      </c>
    </row>
    <row r="8">
      <c r="A8" t="inlineStr">
        <is>
          <t>Total Users</t>
        </is>
      </c>
      <c r="B8" s="13">
        <f>SUMPRODUCT(1/COUNTIF(checkout_log!D2:D1000,checkout_log!D2:D1000&amp;""))</f>
        <v/>
      </c>
      <c r="C8" s="14">
        <f>TODAY()</f>
        <v/>
      </c>
    </row>
    <row r="9">
      <c r="A9" t="inlineStr">
        <is>
          <t>Active Checkouts</t>
        </is>
      </c>
      <c r="B9" s="13">
        <f>COUNTIF(checkout_log!H2:H1000,"Active")+COUNTIF(checkout_log!H2:H1000,"Overdue")</f>
        <v/>
      </c>
      <c r="C9" s="14">
        <f>TODAY()</f>
        <v/>
      </c>
    </row>
    <row r="10">
      <c r="A10" t="inlineStr">
        <is>
          <t>Total Transactions</t>
        </is>
      </c>
      <c r="B10" s="13">
        <f>COUNTA(checkout_log!A2:A1000)</f>
        <v/>
      </c>
      <c r="C10" s="14">
        <f>TODAY()</f>
        <v/>
      </c>
    </row>
    <row r="11">
      <c r="A11" t="inlineStr">
        <is>
          <t>Completed Transactions</t>
        </is>
      </c>
      <c r="B11" s="13">
        <f>COUNTIF(checkout_log!H2:H1000,"Completed")</f>
        <v/>
      </c>
      <c r="C11" s="14">
        <f>TODAY()</f>
        <v/>
      </c>
    </row>
    <row r="12">
      <c r="A12" t="inlineStr">
        <is>
          <t>Utilization Rate</t>
        </is>
      </c>
      <c r="B12" s="13">
        <f>IF(B2&gt;0,B4/B2,0)</f>
        <v/>
      </c>
      <c r="C12" s="14">
        <f>TODAY()</f>
        <v/>
      </c>
    </row>
    <row r="13">
      <c r="A13" t="inlineStr">
        <is>
          <t>Overdue Rate</t>
        </is>
      </c>
      <c r="B13" s="13">
        <f>IF(B4&gt;0,B5/B4,0)</f>
        <v/>
      </c>
      <c r="C13" s="14">
        <f>TODAY()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D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8" t="inlineStr">
        <is>
          <t>User ID</t>
        </is>
      </c>
      <c r="B1" s="8" t="inlineStr">
        <is>
          <t>Name</t>
        </is>
      </c>
      <c r="C1" s="8" t="inlineStr">
        <is>
          <t>Email</t>
        </is>
      </c>
      <c r="D1" s="8" t="n"/>
    </row>
    <row r="2">
      <c r="A2" s="8" t="inlineStr">
        <is>
          <t>U001</t>
        </is>
      </c>
      <c r="B2" s="8" t="inlineStr">
        <is>
          <t>SGT James Mitchell</t>
        </is>
      </c>
      <c r="C2" s="8" t="inlineStr">
        <is>
          <t>james.mitchell@army.mil</t>
        </is>
      </c>
      <c r="D2" s="8" t="n"/>
    </row>
    <row r="3">
      <c r="A3" s="8" t="inlineStr">
        <is>
          <t>U002</t>
        </is>
      </c>
      <c r="B3" s="8" t="inlineStr">
        <is>
          <t>SPC Sarah Johnson</t>
        </is>
      </c>
      <c r="C3" s="8" t="inlineStr">
        <is>
          <t>sarah.johnson@army.mil</t>
        </is>
      </c>
      <c r="D3" s="8" t="n"/>
    </row>
    <row r="4">
      <c r="A4" s="8" t="inlineStr">
        <is>
          <t>U003</t>
        </is>
      </c>
      <c r="B4" s="8" t="inlineStr">
        <is>
          <t>CPL Michael Rodriguez</t>
        </is>
      </c>
      <c r="C4" s="8" t="inlineStr">
        <is>
          <t>michael.rodriguez@army.mil</t>
        </is>
      </c>
      <c r="D4" s="8" t="n"/>
    </row>
    <row r="5">
      <c r="A5" s="8" t="inlineStr">
        <is>
          <t>U004</t>
        </is>
      </c>
      <c r="B5" s="8" t="inlineStr">
        <is>
          <t>PFC Emily Chen</t>
        </is>
      </c>
      <c r="C5" s="8" t="inlineStr">
        <is>
          <t>emily.chen@army.mil</t>
        </is>
      </c>
      <c r="D5" s="8" t="n"/>
    </row>
    <row r="6">
      <c r="A6" s="8" t="inlineStr">
        <is>
          <t>U005</t>
        </is>
      </c>
      <c r="B6" s="8" t="inlineStr">
        <is>
          <t>SSG David Thompson</t>
        </is>
      </c>
      <c r="C6" s="8" t="inlineStr">
        <is>
          <t>david.thompson@army.mil</t>
        </is>
      </c>
      <c r="D6" s="8" t="n"/>
    </row>
    <row r="7">
      <c r="A7" s="8" t="inlineStr">
        <is>
          <t>U006</t>
        </is>
      </c>
      <c r="B7" s="8" t="inlineStr">
        <is>
          <t>SPC Maria Garcia</t>
        </is>
      </c>
      <c r="C7" s="8" t="inlineStr">
        <is>
          <t>maria.garcia@army.mil</t>
        </is>
      </c>
      <c r="D7" s="8" t="n"/>
    </row>
    <row r="8">
      <c r="A8" s="8" t="inlineStr">
        <is>
          <t>U007</t>
        </is>
      </c>
      <c r="B8" s="8" t="inlineStr">
        <is>
          <t>CPL Robert Anderson</t>
        </is>
      </c>
      <c r="C8" s="8" t="inlineStr">
        <is>
          <t>robert.anderson@army.mil</t>
        </is>
      </c>
      <c r="D8" s="8" t="n"/>
    </row>
    <row r="9">
      <c r="A9" s="8" t="inlineStr">
        <is>
          <t>U008</t>
        </is>
      </c>
      <c r="B9" s="8" t="inlineStr">
        <is>
          <t>PFC Jennifer Williams</t>
        </is>
      </c>
      <c r="C9" s="8" t="inlineStr">
        <is>
          <t>jennifer.williams@army.mil</t>
        </is>
      </c>
      <c r="D9" s="8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G16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inlineStr">
        <is>
          <t>Serial Number</t>
        </is>
      </c>
      <c r="B1" s="10" t="inlineStr">
        <is>
          <t>Item Name</t>
        </is>
      </c>
      <c r="C1" s="10" t="inlineStr">
        <is>
          <t>Category</t>
        </is>
      </c>
      <c r="D1" s="10" t="inlineStr">
        <is>
          <t>Shop Location</t>
        </is>
      </c>
      <c r="E1" s="10" t="inlineStr">
        <is>
          <t>Status</t>
        </is>
      </c>
      <c r="F1" s="10" t="inlineStr">
        <is>
          <t>Current User</t>
        </is>
      </c>
      <c r="G1" s="10" t="inlineStr">
        <is>
          <t>Due Date</t>
        </is>
      </c>
    </row>
    <row r="2">
      <c r="A2" s="4" t="inlineStr">
        <is>
          <t>SN-ACU-001</t>
        </is>
      </c>
      <c r="B2" s="4" t="inlineStr">
        <is>
          <t>Army Combat Uniform (OCP) Medium-Regular</t>
        </is>
      </c>
      <c r="C2" s="4" t="inlineStr">
        <is>
          <t>Uniforms</t>
        </is>
      </c>
      <c r="D2" s="4" t="inlineStr">
        <is>
          <t>Supply Room A</t>
        </is>
      </c>
      <c r="E2" s="4" t="inlineStr">
        <is>
          <t>Checked Out</t>
        </is>
      </c>
      <c r="F2" s="4" t="inlineStr">
        <is>
          <t>U001</t>
        </is>
      </c>
      <c r="G2" s="11" t="n">
        <v>45996</v>
      </c>
    </row>
    <row r="3">
      <c r="A3" s="4" t="inlineStr">
        <is>
          <t>SN-ACU-002</t>
        </is>
      </c>
      <c r="B3" s="4" t="inlineStr">
        <is>
          <t>Army Combat Uniform (OCP) Large-Long</t>
        </is>
      </c>
      <c r="C3" s="4" t="inlineStr">
        <is>
          <t>Uniforms</t>
        </is>
      </c>
      <c r="D3" s="4" t="inlineStr">
        <is>
          <t>Supply Room A</t>
        </is>
      </c>
      <c r="E3" s="4" t="inlineStr">
        <is>
          <t>Checked Out</t>
        </is>
      </c>
      <c r="F3" s="0" t="inlineStr">
        <is>
          <t>U001</t>
        </is>
      </c>
      <c r="G3" s="12" t="n">
        <v>45993.48958333334</v>
      </c>
    </row>
    <row r="4">
      <c r="A4" s="4" t="inlineStr">
        <is>
          <t>SN-ACU-003</t>
        </is>
      </c>
      <c r="B4" s="4" t="inlineStr">
        <is>
          <t>Army Combat Uniform (OCP) Small-Short</t>
        </is>
      </c>
      <c r="C4" s="4" t="inlineStr">
        <is>
          <t>Uniforms</t>
        </is>
      </c>
      <c r="D4" s="4" t="inlineStr">
        <is>
          <t>Supply Room A</t>
        </is>
      </c>
      <c r="E4" s="4" t="inlineStr">
        <is>
          <t>Checked Out</t>
        </is>
      </c>
      <c r="F4" s="4" t="inlineStr">
        <is>
          <t>U003</t>
        </is>
      </c>
      <c r="G4" s="11" t="n">
        <v>45991</v>
      </c>
    </row>
    <row r="5">
      <c r="A5" s="4" t="inlineStr">
        <is>
          <t>SN-BOOT-001</t>
        </is>
      </c>
      <c r="B5" s="4" t="inlineStr">
        <is>
          <t>Combat Boots Size 10</t>
        </is>
      </c>
      <c r="C5" s="4" t="inlineStr">
        <is>
          <t>Footwear</t>
        </is>
      </c>
      <c r="D5" s="4" t="inlineStr">
        <is>
          <t>Supply Room B</t>
        </is>
      </c>
      <c r="E5" s="4" t="inlineStr">
        <is>
          <t>Available</t>
        </is>
      </c>
      <c r="F5" s="0" t="inlineStr"/>
      <c r="G5" s="0" t="inlineStr"/>
    </row>
    <row r="6">
      <c r="A6" s="4" t="inlineStr">
        <is>
          <t>SN-BOOT-002</t>
        </is>
      </c>
      <c r="B6" s="4" t="inlineStr">
        <is>
          <t>Combat Boots Size 9</t>
        </is>
      </c>
      <c r="C6" s="4" t="inlineStr">
        <is>
          <t>Footwear</t>
        </is>
      </c>
      <c r="D6" s="4" t="inlineStr">
        <is>
          <t>Supply Room B</t>
        </is>
      </c>
      <c r="E6" s="4" t="inlineStr">
        <is>
          <t>Checked Out</t>
        </is>
      </c>
      <c r="F6" s="4" t="inlineStr">
        <is>
          <t>U002</t>
        </is>
      </c>
      <c r="G6" s="11" t="n">
        <v>45989</v>
      </c>
    </row>
    <row r="7">
      <c r="A7" s="4" t="inlineStr">
        <is>
          <t>SN-BOOT-003</t>
        </is>
      </c>
      <c r="B7" s="4" t="inlineStr">
        <is>
          <t>Combat Boots Size 11</t>
        </is>
      </c>
      <c r="C7" s="4" t="inlineStr">
        <is>
          <t>Footwear</t>
        </is>
      </c>
      <c r="D7" s="4" t="inlineStr">
        <is>
          <t>Supply Room B</t>
        </is>
      </c>
      <c r="E7" s="4" t="inlineStr">
        <is>
          <t>Overdue</t>
        </is>
      </c>
      <c r="F7" s="4" t="inlineStr">
        <is>
          <t>U004</t>
        </is>
      </c>
      <c r="G7" s="11" t="n">
        <v>45981</v>
      </c>
    </row>
    <row r="8">
      <c r="A8" s="4" t="inlineStr">
        <is>
          <t>SN-CAP-001</t>
        </is>
      </c>
      <c r="B8" s="4" t="inlineStr">
        <is>
          <t>Patrol Cap OCP Medium</t>
        </is>
      </c>
      <c r="C8" s="4" t="inlineStr">
        <is>
          <t>Headgear</t>
        </is>
      </c>
      <c r="D8" s="4" t="inlineStr">
        <is>
          <t>Supply Room A</t>
        </is>
      </c>
      <c r="E8" s="4" t="inlineStr">
        <is>
          <t>Available</t>
        </is>
      </c>
      <c r="F8" s="0" t="inlineStr"/>
      <c r="G8" s="0" t="inlineStr"/>
    </row>
    <row r="9">
      <c r="A9" s="4" t="inlineStr">
        <is>
          <t>SN-CAP-002</t>
        </is>
      </c>
      <c r="B9" s="4" t="inlineStr">
        <is>
          <t>Patrol Cap OCP Large</t>
        </is>
      </c>
      <c r="C9" s="4" t="inlineStr">
        <is>
          <t>Headgear</t>
        </is>
      </c>
      <c r="D9" s="4" t="inlineStr">
        <is>
          <t>Supply Room A</t>
        </is>
      </c>
      <c r="E9" s="4" t="inlineStr">
        <is>
          <t>Checked Out</t>
        </is>
      </c>
      <c r="F9" s="4" t="inlineStr">
        <is>
          <t>U005</t>
        </is>
      </c>
      <c r="G9" s="11" t="n">
        <v>46001</v>
      </c>
    </row>
    <row r="10">
      <c r="A10" s="4" t="inlineStr">
        <is>
          <t>SN-JKT-001</t>
        </is>
      </c>
      <c r="B10" s="4" t="inlineStr">
        <is>
          <t>ECWCS Parka Level 6 Medium</t>
        </is>
      </c>
      <c r="C10" s="4" t="inlineStr">
        <is>
          <t>Outerwear</t>
        </is>
      </c>
      <c r="D10" s="4" t="inlineStr">
        <is>
          <t>Supply Room C</t>
        </is>
      </c>
      <c r="E10" s="4" t="inlineStr">
        <is>
          <t>Maintenance</t>
        </is>
      </c>
      <c r="F10" s="0" t="inlineStr"/>
      <c r="G10" s="0" t="inlineStr"/>
    </row>
    <row r="11">
      <c r="A11" s="4" t="inlineStr">
        <is>
          <t>SN-JKT-002</t>
        </is>
      </c>
      <c r="B11" s="4" t="inlineStr">
        <is>
          <t>ECWCS Parka Level 6 Large</t>
        </is>
      </c>
      <c r="C11" s="4" t="inlineStr">
        <is>
          <t>Outerwear</t>
        </is>
      </c>
      <c r="D11" s="4" t="inlineStr">
        <is>
          <t>Supply Room C</t>
        </is>
      </c>
      <c r="E11" s="4" t="inlineStr">
        <is>
          <t>Available</t>
        </is>
      </c>
      <c r="F11" s="0" t="inlineStr"/>
      <c r="G11" s="0" t="inlineStr"/>
    </row>
    <row r="12">
      <c r="A12" s="4" t="inlineStr">
        <is>
          <t>SN-BELT-001</t>
        </is>
      </c>
      <c r="B12" s="4" t="inlineStr">
        <is>
          <t>Rigger Belt Tan Medium</t>
        </is>
      </c>
      <c r="C12" s="4" t="inlineStr">
        <is>
          <t>Accessories</t>
        </is>
      </c>
      <c r="D12" s="4" t="inlineStr">
        <is>
          <t>Supply Room A</t>
        </is>
      </c>
      <c r="E12" s="4" t="inlineStr">
        <is>
          <t>Checked Out</t>
        </is>
      </c>
      <c r="F12" s="4" t="inlineStr">
        <is>
          <t>U006</t>
        </is>
      </c>
      <c r="G12" s="11" t="n">
        <v>45992</v>
      </c>
    </row>
    <row r="13">
      <c r="A13" s="4" t="inlineStr">
        <is>
          <t>SN-GLV-001</t>
        </is>
      </c>
      <c r="B13" s="4" t="inlineStr">
        <is>
          <t>Combat Gloves Leather Medium</t>
        </is>
      </c>
      <c r="C13" s="4" t="inlineStr">
        <is>
          <t>Accessories</t>
        </is>
      </c>
      <c r="D13" s="4" t="inlineStr">
        <is>
          <t>Supply Room B</t>
        </is>
      </c>
      <c r="E13" s="4" t="inlineStr">
        <is>
          <t>Available</t>
        </is>
      </c>
      <c r="F13" s="0" t="inlineStr"/>
      <c r="G13" s="0" t="inlineStr"/>
    </row>
    <row r="14">
      <c r="A14" s="4" t="inlineStr">
        <is>
          <t>SN-GLV-002</t>
        </is>
      </c>
      <c r="B14" s="4" t="inlineStr">
        <is>
          <t>Combat Gloves Leather Large</t>
        </is>
      </c>
      <c r="C14" s="4" t="inlineStr">
        <is>
          <t>Accessories</t>
        </is>
      </c>
      <c r="D14" s="4" t="inlineStr">
        <is>
          <t>Supply Room B</t>
        </is>
      </c>
      <c r="E14" s="4" t="inlineStr">
        <is>
          <t>Lost</t>
        </is>
      </c>
      <c r="F14" s="0" t="inlineStr"/>
      <c r="G14" s="0" t="inlineStr"/>
    </row>
    <row r="15">
      <c r="A15" s="4" t="inlineStr">
        <is>
          <t>SN-RUCK-001</t>
        </is>
      </c>
      <c r="B15" s="4" t="inlineStr">
        <is>
          <t>MOLLE II Rucksack Main Pack</t>
        </is>
      </c>
      <c r="C15" s="4" t="inlineStr">
        <is>
          <t>Field Gear</t>
        </is>
      </c>
      <c r="D15" s="4" t="inlineStr">
        <is>
          <t>Supply Room C</t>
        </is>
      </c>
      <c r="E15" s="4" t="inlineStr">
        <is>
          <t>Checked Out</t>
        </is>
      </c>
      <c r="F15" s="4" t="inlineStr">
        <is>
          <t>U007</t>
        </is>
      </c>
      <c r="G15" s="11" t="n">
        <v>46006</v>
      </c>
    </row>
    <row r="16">
      <c r="A16" s="4" t="inlineStr">
        <is>
          <t>SN-RUCK-002</t>
        </is>
      </c>
      <c r="B16" s="4" t="inlineStr">
        <is>
          <t>MOLLE II Rucksack Main Pack</t>
        </is>
      </c>
      <c r="C16" s="4" t="inlineStr">
        <is>
          <t>Field Gear</t>
        </is>
      </c>
      <c r="D16" s="4" t="inlineStr">
        <is>
          <t>Supply Room C</t>
        </is>
      </c>
      <c r="E16" s="4" t="inlineStr">
        <is>
          <t>Available</t>
        </is>
      </c>
      <c r="F16" s="0" t="inlineStr"/>
      <c r="G16" s="0" t="inlineStr"/>
    </row>
  </sheetData>
  <dataValidations count="1">
    <dataValidation sqref="D2:D16" showDropDown="0" showInputMessage="0" showErrorMessage="1" allowBlank="1" type="list">
      <formula1>"Supply Room A,Supply Room B,Supply Room C"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H12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inlineStr">
        <is>
          <t>Transaction ID</t>
        </is>
      </c>
      <c r="B1" s="10" t="inlineStr">
        <is>
          <t>Serial Number</t>
        </is>
      </c>
      <c r="C1" s="10" t="inlineStr">
        <is>
          <t>Item Name</t>
        </is>
      </c>
      <c r="D1" s="10" t="inlineStr">
        <is>
          <t>User Name</t>
        </is>
      </c>
      <c r="E1" s="10" t="inlineStr">
        <is>
          <t>Check-Out Date</t>
        </is>
      </c>
      <c r="F1" s="10" t="inlineStr">
        <is>
          <t>Due Date</t>
        </is>
      </c>
      <c r="G1" s="10" t="inlineStr">
        <is>
          <t>Check-In Date</t>
        </is>
      </c>
      <c r="H1" s="10" t="inlineStr">
        <is>
          <t>Status</t>
        </is>
      </c>
    </row>
    <row r="2">
      <c r="A2" s="4" t="inlineStr">
        <is>
          <t>TXN-001</t>
        </is>
      </c>
      <c r="B2" s="4" t="inlineStr">
        <is>
          <t>SN-ACU-001</t>
        </is>
      </c>
      <c r="C2" s="4" t="inlineStr">
        <is>
          <t>Army Combat Uniform (OCP) Medium-Regular</t>
        </is>
      </c>
      <c r="D2" s="4" t="inlineStr">
        <is>
          <t>SGT James Mitchell</t>
        </is>
      </c>
      <c r="E2" s="11" t="n">
        <v>45981</v>
      </c>
      <c r="F2" s="11" t="n">
        <v>45996</v>
      </c>
      <c r="G2" s="0" t="inlineStr"/>
      <c r="H2" s="4" t="inlineStr">
        <is>
          <t>Active</t>
        </is>
      </c>
    </row>
    <row r="3">
      <c r="A3" s="4" t="inlineStr">
        <is>
          <t>TXN-002</t>
        </is>
      </c>
      <c r="B3" s="4" t="inlineStr">
        <is>
          <t>SN-BOOT-002</t>
        </is>
      </c>
      <c r="C3" s="4" t="inlineStr">
        <is>
          <t>Combat Boots Size 9</t>
        </is>
      </c>
      <c r="D3" s="4" t="inlineStr">
        <is>
          <t>SPC Sarah Johnson</t>
        </is>
      </c>
      <c r="E3" s="11" t="n">
        <v>45979</v>
      </c>
      <c r="F3" s="11" t="n">
        <v>45989</v>
      </c>
      <c r="G3" s="0" t="inlineStr"/>
      <c r="H3" s="4" t="inlineStr">
        <is>
          <t>Active</t>
        </is>
      </c>
    </row>
    <row r="4">
      <c r="A4" s="4" t="inlineStr">
        <is>
          <t>TXN-003</t>
        </is>
      </c>
      <c r="B4" s="4" t="inlineStr">
        <is>
          <t>SN-ACU-003</t>
        </is>
      </c>
      <c r="C4" s="4" t="inlineStr">
        <is>
          <t>Army Combat Uniform (OCP) Small-Short</t>
        </is>
      </c>
      <c r="D4" s="4" t="inlineStr">
        <is>
          <t>CPL Michael Rodriguez</t>
        </is>
      </c>
      <c r="E4" s="11" t="n">
        <v>45976</v>
      </c>
      <c r="F4" s="11" t="n">
        <v>45991</v>
      </c>
      <c r="G4" s="0" t="inlineStr"/>
      <c r="H4" s="4" t="inlineStr">
        <is>
          <t>Active</t>
        </is>
      </c>
    </row>
    <row r="5">
      <c r="A5" s="4" t="inlineStr">
        <is>
          <t>TXN-004</t>
        </is>
      </c>
      <c r="B5" s="4" t="inlineStr">
        <is>
          <t>SN-BOOT-003</t>
        </is>
      </c>
      <c r="C5" s="4" t="inlineStr">
        <is>
          <t>Combat Boots Size 11</t>
        </is>
      </c>
      <c r="D5" s="4" t="inlineStr">
        <is>
          <t>PFC Emily Chen</t>
        </is>
      </c>
      <c r="E5" s="11" t="n">
        <v>45966</v>
      </c>
      <c r="F5" s="11" t="n">
        <v>45981</v>
      </c>
      <c r="G5" s="0" t="inlineStr"/>
      <c r="H5" s="4" t="inlineStr">
        <is>
          <t>Overdue</t>
        </is>
      </c>
    </row>
    <row r="6">
      <c r="A6" s="4" t="inlineStr">
        <is>
          <t>TXN-005</t>
        </is>
      </c>
      <c r="B6" s="4" t="inlineStr">
        <is>
          <t>SN-CAP-002</t>
        </is>
      </c>
      <c r="C6" s="4" t="inlineStr">
        <is>
          <t>Patrol Cap OCP Large</t>
        </is>
      </c>
      <c r="D6" s="4" t="inlineStr">
        <is>
          <t>SSG David Thompson</t>
        </is>
      </c>
      <c r="E6" s="11" t="n">
        <v>45983</v>
      </c>
      <c r="F6" s="11" t="n">
        <v>46001</v>
      </c>
      <c r="G6" s="0" t="inlineStr"/>
      <c r="H6" s="4" t="inlineStr">
        <is>
          <t>Active</t>
        </is>
      </c>
    </row>
    <row r="7">
      <c r="A7" s="4" t="inlineStr">
        <is>
          <t>TXN-006</t>
        </is>
      </c>
      <c r="B7" s="4" t="inlineStr">
        <is>
          <t>SN-BELT-001</t>
        </is>
      </c>
      <c r="C7" s="4" t="inlineStr">
        <is>
          <t>Rigger Belt Tan Medium</t>
        </is>
      </c>
      <c r="D7" s="4" t="inlineStr">
        <is>
          <t>SPC Maria Garcia</t>
        </is>
      </c>
      <c r="E7" s="11" t="n">
        <v>45979</v>
      </c>
      <c r="F7" s="11" t="n">
        <v>45992</v>
      </c>
      <c r="G7" s="0" t="inlineStr"/>
      <c r="H7" s="4" t="inlineStr">
        <is>
          <t>Active</t>
        </is>
      </c>
    </row>
    <row r="8">
      <c r="A8" s="4" t="inlineStr">
        <is>
          <t>TXN-007</t>
        </is>
      </c>
      <c r="B8" s="4" t="inlineStr">
        <is>
          <t>SN-RUCK-001</t>
        </is>
      </c>
      <c r="C8" s="4" t="inlineStr">
        <is>
          <t>MOLLE II Rucksack Main Pack</t>
        </is>
      </c>
      <c r="D8" s="4" t="inlineStr">
        <is>
          <t>CPL Robert Anderson</t>
        </is>
      </c>
      <c r="E8" s="11" t="n">
        <v>45984</v>
      </c>
      <c r="F8" s="11" t="n">
        <v>46006</v>
      </c>
      <c r="G8" s="0" t="inlineStr"/>
      <c r="H8" s="4" t="inlineStr">
        <is>
          <t>Active</t>
        </is>
      </c>
    </row>
    <row r="9">
      <c r="A9" s="4" t="inlineStr">
        <is>
          <t>TXN-008</t>
        </is>
      </c>
      <c r="B9" s="4" t="inlineStr">
        <is>
          <t>SN-BOOT-001</t>
        </is>
      </c>
      <c r="C9" s="4" t="inlineStr">
        <is>
          <t>Combat Boots Size 10</t>
        </is>
      </c>
      <c r="D9" s="4" t="inlineStr">
        <is>
          <t>PFC Jennifer Williams</t>
        </is>
      </c>
      <c r="E9" s="11" t="n">
        <v>45962</v>
      </c>
      <c r="F9" s="11" t="n">
        <v>45976</v>
      </c>
      <c r="G9" s="11" t="n">
        <v>45975</v>
      </c>
      <c r="H9" s="4" t="inlineStr">
        <is>
          <t>Completed</t>
        </is>
      </c>
    </row>
    <row r="10">
      <c r="A10" s="4" t="inlineStr">
        <is>
          <t>TXN-009</t>
        </is>
      </c>
      <c r="B10" s="4" t="inlineStr">
        <is>
          <t>SN-ACU-002</t>
        </is>
      </c>
      <c r="C10" s="4" t="inlineStr">
        <is>
          <t>Army Combat Uniform (OCP) Large-Long</t>
        </is>
      </c>
      <c r="D10" s="4" t="inlineStr">
        <is>
          <t>SGT James Mitchell</t>
        </is>
      </c>
      <c r="E10" s="11" t="n">
        <v>45969</v>
      </c>
      <c r="F10" s="11" t="n">
        <v>45983</v>
      </c>
      <c r="G10" s="11" t="n">
        <v>45982</v>
      </c>
      <c r="H10" s="4" t="inlineStr">
        <is>
          <t>Completed</t>
        </is>
      </c>
    </row>
    <row r="11">
      <c r="A11" s="4" t="inlineStr">
        <is>
          <t>TXN-010</t>
        </is>
      </c>
      <c r="B11" s="4" t="inlineStr">
        <is>
          <t>SN-GLV-001</t>
        </is>
      </c>
      <c r="C11" s="4" t="inlineStr">
        <is>
          <t>Combat Gloves Leather Medium</t>
        </is>
      </c>
      <c r="D11" s="4" t="inlineStr">
        <is>
          <t>SPC Sarah Johnson</t>
        </is>
      </c>
      <c r="E11" s="11" t="n">
        <v>45971</v>
      </c>
      <c r="F11" s="11" t="n">
        <v>45985</v>
      </c>
      <c r="G11" s="11" t="n">
        <v>45984</v>
      </c>
      <c r="H11" s="4" t="inlineStr">
        <is>
          <t>Completed</t>
        </is>
      </c>
    </row>
    <row r="12">
      <c r="A12" s="0" t="inlineStr">
        <is>
          <t>TXN-011</t>
        </is>
      </c>
      <c r="B12" s="0" t="inlineStr">
        <is>
          <t>SN-ACU-002</t>
        </is>
      </c>
      <c r="C12" s="0" t="inlineStr">
        <is>
          <t>Army Combat Uniform (OCP) Large-Long</t>
        </is>
      </c>
      <c r="D12" s="0" t="inlineStr">
        <is>
          <t>Smith</t>
        </is>
      </c>
      <c r="E12" s="12" t="n">
        <v>45992.5</v>
      </c>
      <c r="F12" s="12" t="n">
        <v>45993.48958333334</v>
      </c>
      <c r="G12" s="0" t="inlineStr"/>
      <c r="H12" s="0" t="inlineStr">
        <is>
          <t>Active</t>
        </is>
      </c>
    </row>
  </sheetData>
  <dataValidations count="1">
    <dataValidation sqref="H2:H11" showDropDown="0" showInputMessage="0" showErrorMessage="1" allowBlank="1" type="list">
      <formula1>"Active,Overdue,Completed"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2025-12-01T17:52:30Z</dcterms:created>
  <dcterms:modified xsi:type="dcterms:W3CDTF">2025-12-01T17:53:26Z</dcterms:modified>
</cp:coreProperties>
</file>